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Tracker" sheetId="1" state="visible" r:id="rId1"/>
    <sheet xmlns:r="http://schemas.openxmlformats.org/officeDocument/2006/relationships" name="Setup and 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sec&quot;"/>
    <numFmt numFmtId="165" formatCode="$#,##0.00"/>
    <numFmt numFmtId="166" formatCode="0.0"/>
    <numFmt numFmtId="167" formatCode="0.000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b val="1"/>
      <color rgb="0064748B"/>
      <sz val="9"/>
    </font>
    <font>
      <name val="Segoe UI"/>
      <b val="1"/>
      <color rgb="000EA5E9"/>
      <sz val="14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sz val="10"/>
    </font>
    <font>
      <name val="Segoe UI"/>
      <b val="1"/>
      <sz val="10"/>
    </font>
    <font>
      <name val="Segoe UI"/>
      <i val="1"/>
      <sz val="10"/>
    </font>
    <font>
      <name val="Segoe UI"/>
      <sz val="9"/>
    </font>
    <font>
      <name val="Segoe UI"/>
      <b val="1"/>
      <color rgb="00FFFFFF"/>
      <sz val="13"/>
    </font>
    <font>
      <name val="Segoe UI"/>
      <b val="1"/>
      <color rgb="000EA5E9"/>
      <sz val="11"/>
    </font>
    <font>
      <name val="Segoe UI"/>
      <b val="1"/>
      <color rgb="000EA5E9"/>
      <sz val="10"/>
    </font>
    <font>
      <name val="Segoe UI"/>
      <i val="1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EA5E9"/>
        <bgColor rgb="000EA5E9"/>
      </patternFill>
    </fill>
    <fill>
      <patternFill patternType="solid">
        <fgColor rgb="00F0FDF4"/>
        <bgColor rgb="00F0FDF4"/>
      </patternFill>
    </fill>
    <fill>
      <patternFill patternType="solid">
        <fgColor rgb="00F0F9FF"/>
        <bgColor rgb="00F0F9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top style="thin">
        <color rgb="000F172A"/>
      </top>
      <bottom style="medium">
        <color rgb="000EA5E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66" fontId="9" fillId="5" borderId="2" applyAlignment="1" pivotButton="0" quotePrefix="0" xfId="0">
      <alignment horizontal="center" vertical="center"/>
    </xf>
    <xf numFmtId="166" fontId="10" fillId="4" borderId="2" applyAlignment="1" pivotButton="0" quotePrefix="0" xfId="0">
      <alignment horizontal="center" vertical="center"/>
    </xf>
    <xf numFmtId="165" fontId="8" fillId="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/>
    </xf>
    <xf numFmtId="0" fontId="0" fillId="7" borderId="3" pivotButton="0" quotePrefix="0" xfId="0"/>
    <xf numFmtId="166" fontId="9" fillId="7" borderId="3" applyAlignment="1" pivotButton="0" quotePrefix="0" xfId="0">
      <alignment horizontal="center" vertical="center"/>
    </xf>
    <xf numFmtId="165" fontId="9" fillId="7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6" fillId="2" borderId="1" pivotButton="0" quotePrefix="0" xfId="0"/>
    <xf numFmtId="0" fontId="14" fillId="0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3" fontId="9" fillId="5" borderId="2" applyAlignment="1" pivotButton="0" quotePrefix="0" xfId="0">
      <alignment horizontal="center" vertical="center"/>
    </xf>
    <xf numFmtId="166" fontId="9" fillId="4" borderId="2" applyAlignment="1" pivotButton="0" quotePrefix="0" xfId="0">
      <alignment horizontal="center" vertical="center"/>
    </xf>
    <xf numFmtId="167" fontId="9" fillId="4" borderId="2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Segoe UI"/>
        <b val="1"/>
        <color rgb="00EF4444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4" customWidth="1" min="5" max="5"/>
    <col width="48" customWidth="1" min="6" max="6"/>
    <col width="48" customWidth="1" min="7" max="7"/>
    <col width="14" customWidth="1" min="8" max="8"/>
    <col width="40" customWidth="1" min="9" max="9"/>
  </cols>
  <sheetData>
    <row r="1" ht="40" customHeight="1">
      <c r="A1" s="1" t="inlineStr">
        <is>
          <t>PROJECT NEVERMORE — PRODUCTION STORYBOARD &amp; TRACKER</t>
        </is>
      </c>
    </row>
    <row r="2" ht="24" customHeight="1">
      <c r="A2" s="2" t="inlineStr">
        <is>
          <t>Episode 1: The Awakening | System Status: CEMENTED | Generated: 2026-06-17 | Version: v1.0</t>
        </is>
      </c>
    </row>
    <row r="3" ht="10" customHeight="1"/>
    <row r="4" ht="22" customHeight="1">
      <c r="A4" s="3" t="inlineStr">
        <is>
          <t xml:space="preserve">   SUMMARY DASHBOARD</t>
        </is>
      </c>
    </row>
    <row r="5" ht="18" customHeight="1">
      <c r="A5" s="4" t="inlineStr">
        <is>
          <t>Total Scheduled Shots</t>
        </is>
      </c>
      <c r="C5" s="4" t="inlineStr">
        <is>
          <t>Total Episode Duration</t>
        </is>
      </c>
      <c r="E5" s="4" t="inlineStr">
        <is>
          <t>Completed Shots</t>
        </is>
      </c>
      <c r="G5" s="4" t="inlineStr">
        <is>
          <t>Est Production Cost</t>
        </is>
      </c>
    </row>
    <row r="6" ht="24" customHeight="1">
      <c r="A6" s="5">
        <f>COUNTA(A12:A17)</f>
        <v/>
      </c>
      <c r="C6" s="6">
        <f>SUM(C12:C17)</f>
        <v/>
      </c>
      <c r="E6" s="5">
        <f>COUNTIF(H12:H17, "Complete")</f>
        <v/>
      </c>
      <c r="G6" s="7">
        <f>SUM(E12:E17)</f>
        <v/>
      </c>
    </row>
    <row r="7" ht="10" customHeight="1"/>
    <row r="8" ht="10" customHeight="1"/>
    <row r="10" ht="24" customHeight="1">
      <c r="A10" s="8" t="inlineStr">
        <is>
          <t xml:space="preserve">   PRODUCTION SHOT SEQUENCE</t>
        </is>
      </c>
    </row>
    <row r="11" ht="26" customHeight="1">
      <c r="A11" s="9" t="inlineStr">
        <is>
          <t>Shot ID</t>
        </is>
      </c>
      <c r="B11" s="9" t="inlineStr">
        <is>
          <t>Framing</t>
        </is>
      </c>
      <c r="C11" s="9" t="inlineStr">
        <is>
          <t>Duration (sec)</t>
        </is>
      </c>
      <c r="D11" s="9" t="inlineStr">
        <is>
          <t>Cumulative (sec)</t>
        </is>
      </c>
      <c r="E11" s="9" t="inlineStr">
        <is>
          <t>Est Cost</t>
        </is>
      </c>
      <c r="F11" s="10" t="inlineStr">
        <is>
          <t>Visual Keyframe DNA &amp; Weights</t>
        </is>
      </c>
      <c r="G11" s="10" t="inlineStr">
        <is>
          <t>Kinetic Motion &amp; Camera Prompt</t>
        </is>
      </c>
      <c r="H11" s="9" t="inlineStr">
        <is>
          <t>Status</t>
        </is>
      </c>
      <c r="I11" s="10" t="inlineStr">
        <is>
          <t>Post-Production Notes</t>
        </is>
      </c>
    </row>
    <row r="12" ht="36" customHeight="1">
      <c r="A12" s="11" t="inlineStr">
        <is>
          <t>S01</t>
        </is>
      </c>
      <c r="B12" s="12" t="inlineStr">
        <is>
          <t>Wide</t>
        </is>
      </c>
      <c r="C12" s="13" t="n">
        <v>4</v>
      </c>
      <c r="D12" s="14">
        <f>C12</f>
        <v/>
      </c>
      <c r="E12" s="15">
        <f>C12*'Setup and References'!$B$15</f>
        <v/>
      </c>
      <c r="F12" s="16" t="inlineStr">
        <is>
          <t>A athletic female star-pilot with a sharp jawline and a short asymmetrical neon-teal bob haircut wearing a pristine white retro-futuristic flight suit with orange brass piping and a high collar against a curved observation window, warm sunset --cref [vesperabase] --cw 100 --seed 4567 --ar 16:9</t>
        </is>
      </c>
      <c r="G12" s="16" t="inlineStr">
        <is>
          <t>Slow tracking shot dollying in toward Vespera as she stands still, looking out at the glittering retro-futuristic cityscape, warm sunset lighting.</t>
        </is>
      </c>
      <c r="H12" s="17" t="inlineStr">
        <is>
          <t>Complete</t>
        </is>
      </c>
      <c r="I12" s="18" t="inlineStr">
        <is>
          <t>Anchor character &amp; style reference in Runway Gen-4.5</t>
        </is>
      </c>
    </row>
    <row r="13" ht="36" customHeight="1">
      <c r="A13" s="19" t="inlineStr">
        <is>
          <t>S02</t>
        </is>
      </c>
      <c r="B13" s="20" t="inlineStr">
        <is>
          <t>Medium Close</t>
        </is>
      </c>
      <c r="C13" s="13" t="n">
        <v>4</v>
      </c>
      <c r="D13" s="14">
        <f>D12+C13</f>
        <v/>
      </c>
      <c r="E13" s="15">
        <f>C13*'Setup and References'!$B$15</f>
        <v/>
      </c>
      <c r="F13" s="16" t="inlineStr">
        <is>
          <t>Medium close-up of Vespera turning her head to look directly into camera with surprised curiosity, soft warm lighting, control room deck --cref [vesperabase] --cw 0 --seed 4567 --ar 16:9</t>
        </is>
      </c>
      <c r="G13" s="16" t="inlineStr">
        <is>
          <t>Vespera slowly turning her head towards camera, eyes widening slightly as her expression shifts from neutral to a surprised smile, camera slowly pans left.</t>
        </is>
      </c>
      <c r="H13" s="17" t="inlineStr">
        <is>
          <t>Complete</t>
        </is>
      </c>
      <c r="I13" s="21" t="inlineStr">
        <is>
          <t>Character weight set to 0 to preserve face while allowing costume/pose variance</t>
        </is>
      </c>
    </row>
    <row r="14" ht="36" customHeight="1">
      <c r="A14" s="11" t="inlineStr">
        <is>
          <t>S03</t>
        </is>
      </c>
      <c r="B14" s="12" t="inlineStr">
        <is>
          <t>ECU (Cutaway)</t>
        </is>
      </c>
      <c r="C14" s="13" t="n">
        <v>5</v>
      </c>
      <c r="D14" s="14">
        <f>D13+C14</f>
        <v/>
      </c>
      <c r="E14" s="15">
        <f>C14*'Setup and References'!$B$15</f>
        <v/>
      </c>
      <c r="F14" s="16" t="inlineStr">
        <is>
          <t>Extreme close-up of a gloved hand holding a highly detailed retro-futuristic brass chrono-compass with glowing turquoise holographic rings, rotating gears, soft focus background --ar 16:9</t>
        </is>
      </c>
      <c r="G14" s="16" t="inlineStr">
        <is>
          <t>Extreme close-up macro shot of the rotating brass gears of the compass, turquoise holographic light pulses and glows, camera holds static focus.</t>
        </is>
      </c>
      <c r="H14" s="17" t="inlineStr">
        <is>
          <t>Complete</t>
        </is>
      </c>
      <c r="I14" s="18" t="inlineStr">
        <is>
          <t>Rule 2 (The Anchor-to-Video Rule) and Transition Cutaway to mask drift</t>
        </is>
      </c>
    </row>
    <row r="15" ht="36" customHeight="1">
      <c r="A15" s="19" t="inlineStr">
        <is>
          <t>S04</t>
        </is>
      </c>
      <c r="B15" s="20" t="inlineStr">
        <is>
          <t>Medium</t>
        </is>
      </c>
      <c r="C15" s="13" t="n">
        <v>5</v>
      </c>
      <c r="D15" s="14">
        <f>D14+C15</f>
        <v/>
      </c>
      <c r="E15" s="15">
        <f>C15*'Setup and References'!$B$15</f>
        <v/>
      </c>
      <c r="F15" s="16" t="inlineStr">
        <is>
          <t>A dynamic medium shot of Vespera stepping towards the glowing control deck, holding the brass chrono-compass in her gloved hand --cref [vesperabase] --cw 100 --seed 4567 --ar 16:9</t>
        </is>
      </c>
      <c r="G15" s="16" t="inlineStr">
        <is>
          <t>Medium shot of Vespera stepping forward, her hand reaching out to tap a control key, slow camera track right.</t>
        </is>
      </c>
      <c r="H15" s="17" t="inlineStr">
        <is>
          <t>In Progress</t>
        </is>
      </c>
      <c r="I15" s="21" t="inlineStr">
        <is>
          <t>Physical action shot, use negative prompts for hand rendering details</t>
        </is>
      </c>
    </row>
    <row r="16" ht="36" customHeight="1">
      <c r="A16" s="11" t="inlineStr">
        <is>
          <t>S05</t>
        </is>
      </c>
      <c r="B16" s="12" t="inlineStr">
        <is>
          <t>Close-Up</t>
        </is>
      </c>
      <c r="C16" s="13" t="n">
        <v>6</v>
      </c>
      <c r="D16" s="14">
        <f>D15+C16</f>
        <v/>
      </c>
      <c r="E16" s="15">
        <f>C16*'Setup and References'!$B$15</f>
        <v/>
      </c>
      <c r="F16" s="16" t="inlineStr">
        <is>
          <t>Close-up of Vespera looking down at her hand holding the glowing chrono-compass, soft turquoise light illuminating her face and highlighting her teal bob, emotional expression of awe --cref [vesperabase] --cw 100 --seed 4567 --ar 16:9</t>
        </is>
      </c>
      <c r="G16" s="16" t="inlineStr">
        <is>
          <t>Close-up of Vespera looking at the compass, her eyes tracking the glowing floating turquoise particle, subtle camera push-in.</t>
        </is>
      </c>
      <c r="H16" s="17" t="inlineStr">
        <is>
          <t>Not Started</t>
        </is>
      </c>
      <c r="I16" s="18" t="inlineStr">
        <is>
          <t>Utilize ControlNet Timestep KeyFrames to schedule the strength of facial mapping</t>
        </is>
      </c>
    </row>
    <row r="17" ht="36" customHeight="1">
      <c r="A17" s="19" t="inlineStr">
        <is>
          <t>S06</t>
        </is>
      </c>
      <c r="B17" s="20" t="inlineStr">
        <is>
          <t>Wide</t>
        </is>
      </c>
      <c r="C17" s="13" t="n">
        <v>6</v>
      </c>
      <c r="D17" s="14">
        <f>D16+C17</f>
        <v/>
      </c>
      <c r="E17" s="15">
        <f>C17*'Setup and References'!$B$15</f>
        <v/>
      </c>
      <c r="F17" s="16" t="inlineStr">
        <is>
          <t>A wide cinematic shot of Vespera walking away down a brightly illuminated glass corridor, sleek Syd Mead details, reflection on the floor --cref [vesperabase] --cw 100 --seed 4567 --ar 16:9</t>
        </is>
      </c>
      <c r="G17" s="16" t="inlineStr">
        <is>
          <t>Slow crane shot tracking Vespera from behind as she walks down the retro-futuristic corridor, warm sunset light fading.</t>
        </is>
      </c>
      <c r="H17" s="17" t="inlineStr">
        <is>
          <t>Not Started</t>
        </is>
      </c>
      <c r="I17" s="21" t="inlineStr">
        <is>
          <t>Exits scene, establishes next setting for sequence. End of Scene 1.</t>
        </is>
      </c>
    </row>
    <row r="18" ht="24" customHeight="1">
      <c r="A18" s="22" t="inlineStr">
        <is>
          <t>Total</t>
        </is>
      </c>
      <c r="B18" s="23" t="inlineStr"/>
      <c r="C18" s="24">
        <f>SUM(C12:C17)</f>
        <v/>
      </c>
      <c r="D18" s="23" t="inlineStr"/>
      <c r="E18" s="25">
        <f>SUM(E12:E17)</f>
        <v/>
      </c>
      <c r="F18" s="23" t="n"/>
      <c r="G18" s="23" t="n"/>
      <c r="H18" s="23" t="n"/>
      <c r="I18" s="23" t="n"/>
    </row>
  </sheetData>
  <mergeCells count="4">
    <mergeCell ref="A1:I1"/>
    <mergeCell ref="A4:I4"/>
    <mergeCell ref="A2:I2"/>
    <mergeCell ref="A10:I10"/>
  </mergeCells>
  <conditionalFormatting sqref="H12:H17">
    <cfRule type="cellIs" priority="1" operator="equal" dxfId="0" stopIfTrue="1">
      <formula>"Blocked"</formula>
    </cfRule>
  </conditionalFormatting>
  <dataValidations count="2">
    <dataValidation sqref="B12:B17" showDropDown="0" showInputMessage="0" showErrorMessage="0" allowBlank="1" type="list">
      <formula1>"Wide,Medium,Close-Up,ECU (Cutaway),Over-the-shoulder"</formula1>
    </dataValidation>
    <dataValidation sqref="H12:H17" showDropDown="0" showInputMessage="0" showErrorMessage="0" allowBlank="1" type="list">
      <formula1>"Not Started,In Progress,Complete,Blocked"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4" customWidth="1" min="3" max="3"/>
  </cols>
  <sheetData>
    <row r="1" ht="36" customHeight="1">
      <c r="A1" s="26" t="inlineStr">
        <is>
          <t>PROJECT NEVERMORE — SETUP &amp; REFERENCE CONFIGURATION</t>
        </is>
      </c>
    </row>
    <row r="3" ht="24" customHeight="1">
      <c r="A3" s="27" t="inlineStr">
        <is>
          <t>Discord shorttag Bindings (/prefer option set option:[tag] value:[URL])</t>
        </is>
      </c>
    </row>
    <row r="4" ht="24" customHeight="1">
      <c r="A4" s="28" t="inlineStr">
        <is>
          <t>Discord Option Tag</t>
        </is>
      </c>
      <c r="B4" s="28" t="inlineStr">
        <is>
          <t>Master Visual DNA URL</t>
        </is>
      </c>
      <c r="C4" s="28" t="inlineStr">
        <is>
          <t>DNA Description &amp; Calibration</t>
        </is>
      </c>
    </row>
    <row r="5" ht="24" customHeight="1">
      <c r="A5" s="29" t="inlineStr">
        <is>
          <t>--vesperabase</t>
        </is>
      </c>
      <c r="B5" s="30" t="inlineStr">
        <is>
          <t>https://neolemon.ai/projects/nevermore/assets/vespera_dna_pack.png</t>
        </is>
      </c>
      <c r="C5" s="31" t="inlineStr">
        <is>
          <t>Vespera visual DNA sheet turnaround (front, side, 3/4 profiles) with neutral lighting against gray background</t>
        </is>
      </c>
    </row>
    <row r="6" ht="24" customHeight="1">
      <c r="A6" s="29" t="inlineStr">
        <is>
          <t>--chronocompass</t>
        </is>
      </c>
      <c r="B6" s="30" t="inlineStr">
        <is>
          <t>https://neolemon.ai/projects/nevermore/assets/chrono_compass_macro.png</t>
        </is>
      </c>
      <c r="C6" s="31" t="inlineStr">
        <is>
          <t>Macro keyframe reference of the brass gears and glowing turquoise ring system of the navigator compass</t>
        </is>
      </c>
    </row>
    <row r="7" ht="24" customHeight="1">
      <c r="A7" s="29" t="inlineStr">
        <is>
          <t>--vibe_sydmead</t>
        </is>
      </c>
      <c r="B7" s="30" t="inlineStr">
        <is>
          <t>https://neolemon.ai/projects/nevermore/assets/sydmead_vibe_reference.png</t>
        </is>
      </c>
      <c r="C7" s="31" t="inlineStr">
        <is>
          <t>Aerodynamic sleek curves, volumetric light beams, warm sunsets and chrome finish architecture reference</t>
        </is>
      </c>
    </row>
    <row r="8" ht="12" customHeight="1"/>
    <row r="9" ht="12" customHeight="1"/>
    <row r="10" ht="24" customHeight="1">
      <c r="A10" s="27" t="inlineStr">
        <is>
          <t>AI Generation Parameter Calibration Constants</t>
        </is>
      </c>
    </row>
    <row r="11" ht="24" customHeight="1">
      <c r="A11" s="28" t="inlineStr">
        <is>
          <t>Engine Parameter</t>
        </is>
      </c>
      <c r="B11" s="28" t="inlineStr">
        <is>
          <t>Config Value</t>
        </is>
      </c>
      <c r="C11" s="28" t="inlineStr">
        <is>
          <t>Technical Operational Impact</t>
        </is>
      </c>
    </row>
    <row r="12" ht="24" customHeight="1">
      <c r="A12" s="32" t="inlineStr">
        <is>
          <t>Default Seed</t>
        </is>
      </c>
      <c r="B12" s="33" t="n">
        <v>4567</v>
      </c>
      <c r="C12" s="31" t="inlineStr">
        <is>
          <t>Locks baseline pseudorandom noise matrix generation for structural identical frames</t>
        </is>
      </c>
    </row>
    <row r="13" ht="24" customHeight="1">
      <c r="A13" s="32" t="inlineStr">
        <is>
          <t>STG Scale (Spatio-Temporal)</t>
        </is>
      </c>
      <c r="B13" s="34" t="n">
        <v>7</v>
      </c>
      <c r="C13" s="31" t="inlineStr">
        <is>
          <t>Strengthens frame-to-frame trajectory-attention to eliminate crawling glitches</t>
        </is>
      </c>
    </row>
    <row r="14" ht="24" customHeight="1">
      <c r="A14" s="32" t="inlineStr">
        <is>
          <t>Negative Elements Prompt</t>
        </is>
      </c>
      <c r="B14" s="33" t="inlineStr">
        <is>
          <t>glasses, sunglasses, de-aging, warping clothes, color shifts</t>
        </is>
      </c>
      <c r="C14" s="31" t="inlineStr">
        <is>
          <t>Secondary barrier preventing the scheduler from morphing character DNA specs</t>
        </is>
      </c>
    </row>
    <row r="15" ht="24" customHeight="1">
      <c r="A15" s="32" t="inlineStr">
        <is>
          <t>PixVerse/Kling Cost/Sec</t>
        </is>
      </c>
      <c r="B15" s="35" t="n">
        <v>0.025</v>
      </c>
      <c r="C15" s="31" t="inlineStr">
        <is>
          <t>Standard credit/dollar multiplier per 1080p high-fidelity generation second (USD)</t>
        </is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2026-06-18T03:27:45Z</dcterms:created>
  <dcterms:modified xmlns:dcterms="http://purl.org/dc/terms/" xmlns:xsi="http://www.w3.org/2001/XMLSchema-instance" xsi:type="dcterms:W3CDTF">2026-06-18T03:27:45Z</dcterms:modified>
</cp:coreProperties>
</file>